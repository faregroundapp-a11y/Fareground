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 vs Af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0.0#"/>
    <numFmt numFmtId="166" formatCode="0.0000"/>
    <numFmt numFmtId="167" formatCode="&quot;$&quot;0.000"/>
    <numFmt numFmtId="168" formatCode="0.00000"/>
  </numFmts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</font>
    <font>
      <name val="Arial"/>
      <color rgb="000000FF"/>
    </font>
    <font>
      <name val="Arial"/>
      <i val="1"/>
      <color rgb="00808080"/>
    </font>
    <font>
      <name val="Arial"/>
    </font>
    <font>
      <name val="Arial"/>
      <i val="1"/>
      <color rgb="00808080"/>
      <sz val="9"/>
    </font>
    <font>
      <name val="Arial"/>
      <color rgb="00595959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5" fillId="0" borderId="1" pivotButton="0" quotePrefix="0" xfId="0"/>
    <xf numFmtId="10" fontId="3" fillId="0" borderId="1" pivotButton="0" quotePrefix="0" xfId="0"/>
    <xf numFmtId="165" fontId="3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0" fillId="0" borderId="1" pivotButton="0" quotePrefix="0" xfId="0"/>
    <xf numFmtId="0" fontId="3" fillId="0" borderId="1" pivotButton="0" quotePrefix="0" xfId="0"/>
    <xf numFmtId="9" fontId="3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0" fontId="6" fillId="0" borderId="0" pivotButton="0" quotePrefix="0" xfId="0"/>
    <xf numFmtId="9" fontId="0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Claude</author>
  </authors>
  <commentList>
    <comment ref="L4" authorId="0" shapeId="0">
      <text>
        <t>Product owner's current boost (rules.ts BOOST_MULTIPLIER).</t>
      </text>
    </comment>
    <comment ref="L5" authorId="0" shapeId="0">
      <text>
        <t>Zhev's assumption: boosted for half the day. Boosted factor = 1 + 19 x 50% = 10.5x.</t>
      </text>
    </comment>
    <comment ref="L7" authorId="0" shapeId="0">
      <text>
        <t>rules.ts COIN_REDEMPTION_USD: 1,000 coins = $1.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46"/>
  <sheetViews>
    <sheetView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0" customWidth="1" min="3" max="3"/>
    <col width="12" customWidth="1" min="4" max="4"/>
    <col width="12" customWidth="1" min="5" max="5"/>
    <col width="16" customWidth="1" min="6" max="6"/>
    <col width="3" customWidth="1" min="7" max="7"/>
    <col width="20" customWidth="1" min="8" max="8"/>
    <col width="12" customWidth="1" min="9" max="9"/>
    <col width="3" customWidth="1" min="10" max="10"/>
    <col width="20" customWidth="1" min="11" max="11"/>
    <col width="10" customWidth="1" min="12" max="12"/>
  </cols>
  <sheetData>
    <row r="1">
      <c r="B1" s="1" t="inlineStr">
        <is>
          <t>Fareground economy - before and after the 2026-09-27 change (same method as Zhev's sheet)</t>
        </is>
      </c>
    </row>
    <row r="3">
      <c r="B3" s="1" t="inlineStr">
        <is>
          <t>BEFORE</t>
        </is>
      </c>
      <c r="F3" s="2" t="inlineStr"/>
      <c r="K3" s="3" t="inlineStr">
        <is>
          <t>Assumptions</t>
        </is>
      </c>
    </row>
    <row r="4">
      <c r="D4" s="4" t="inlineStr">
        <is>
          <t>per month</t>
        </is>
      </c>
      <c r="E4" s="4" t="inlineStr">
        <is>
          <t>boosted</t>
        </is>
      </c>
      <c r="F4" s="4" t="inlineStr">
        <is>
          <t>converted to $$</t>
        </is>
      </c>
      <c r="I4" s="4" t="inlineStr">
        <is>
          <t>my counts</t>
        </is>
      </c>
      <c r="K4" t="inlineStr">
        <is>
          <t>Boost multiplier</t>
        </is>
      </c>
      <c r="L4" s="5" t="n">
        <v>20</v>
      </c>
    </row>
    <row r="5">
      <c r="B5" s="6" t="inlineStr">
        <is>
          <t>rocky</t>
        </is>
      </c>
      <c r="C5" s="7" t="n">
        <v>0.6</v>
      </c>
      <c r="D5" s="8" t="n">
        <v>3</v>
      </c>
      <c r="E5" s="9">
        <f>D5*$L$6</f>
        <v/>
      </c>
      <c r="F5" s="10">
        <f>E5/$L$7</f>
        <v/>
      </c>
      <c r="G5" s="11" t="n"/>
      <c r="H5" s="11" t="n"/>
      <c r="I5" s="12" t="n">
        <v>4</v>
      </c>
      <c r="K5" t="inlineStr">
        <is>
          <t>Share of day boosted</t>
        </is>
      </c>
      <c r="L5" s="13" t="n">
        <v>0.5</v>
      </c>
    </row>
    <row r="6">
      <c r="B6" s="6" t="inlineStr">
        <is>
          <t>coal</t>
        </is>
      </c>
      <c r="C6" s="7" t="n">
        <v>0.25</v>
      </c>
      <c r="D6" s="8" t="n">
        <v>4</v>
      </c>
      <c r="E6" s="9">
        <f>D6*$L$6</f>
        <v/>
      </c>
      <c r="F6" s="10">
        <f>E6/$L$7</f>
        <v/>
      </c>
      <c r="G6" s="11" t="n"/>
      <c r="H6" s="11" t="n"/>
      <c r="I6" s="12" t="n">
        <v>4</v>
      </c>
      <c r="K6" t="inlineStr">
        <is>
          <t>Boosted factor</t>
        </is>
      </c>
      <c r="L6" s="14">
        <f>1+(L4-1)*L5</f>
        <v/>
      </c>
    </row>
    <row r="7">
      <c r="B7" s="6" t="inlineStr">
        <is>
          <t>amethyst</t>
        </is>
      </c>
      <c r="C7" s="7" t="n">
        <v>0.1</v>
      </c>
      <c r="D7" s="8" t="n">
        <v>5</v>
      </c>
      <c r="E7" s="9">
        <f>D7*$L$6</f>
        <v/>
      </c>
      <c r="F7" s="10">
        <f>E7/$L$7</f>
        <v/>
      </c>
      <c r="G7" s="11" t="n"/>
      <c r="H7" s="11" t="n"/>
      <c r="I7" s="12" t="n">
        <v>0</v>
      </c>
      <c r="K7" t="inlineStr">
        <is>
          <t>Coins per $1</t>
        </is>
      </c>
      <c r="L7" s="5" t="n">
        <v>1000</v>
      </c>
    </row>
    <row r="8">
      <c r="B8" s="6" t="inlineStr">
        <is>
          <t>saphhire</t>
        </is>
      </c>
      <c r="C8" s="7" t="n">
        <v>0.04</v>
      </c>
      <c r="D8" s="8" t="n">
        <v>8</v>
      </c>
      <c r="E8" s="9">
        <f>D8*$L$6</f>
        <v/>
      </c>
      <c r="F8" s="10">
        <f>E8/$L$7</f>
        <v/>
      </c>
      <c r="G8" s="11" t="n"/>
      <c r="H8" s="11" t="n"/>
      <c r="I8" s="12" t="n">
        <v>1</v>
      </c>
    </row>
    <row r="9">
      <c r="B9" s="6" t="inlineStr">
        <is>
          <t>ruby</t>
        </is>
      </c>
      <c r="C9" s="7" t="n">
        <v>0.01</v>
      </c>
      <c r="D9" s="8" t="n">
        <v>25</v>
      </c>
      <c r="E9" s="9">
        <f>D9*$L$6</f>
        <v/>
      </c>
      <c r="F9" s="10">
        <f>E9/$L$7</f>
        <v/>
      </c>
      <c r="G9" s="11" t="n"/>
      <c r="H9" s="11" t="n"/>
      <c r="I9" s="12" t="n">
        <v>0</v>
      </c>
    </row>
    <row r="10">
      <c r="H10" s="15" t="inlineStr">
        <is>
          <t>monthly unboost</t>
        </is>
      </c>
      <c r="I10" s="16">
        <f>SUMPRODUCT(I5:I9,D5:D9)/$L$7</f>
        <v/>
      </c>
    </row>
    <row r="11">
      <c r="H11" s="15" t="inlineStr">
        <is>
          <t>monthly boosted</t>
        </is>
      </c>
      <c r="I11" s="16">
        <f>SUMPRODUCT(I5:I9,F5:F9)</f>
        <v/>
      </c>
    </row>
    <row r="13">
      <c r="E13" s="15" t="inlineStr">
        <is>
          <t>expected rent:</t>
        </is>
      </c>
      <c r="F13" s="17">
        <f>SUMPRODUCT(C5:C9,F5:F9)</f>
        <v/>
      </c>
      <c r="G13" s="18" t="inlineStr">
        <is>
          <t>$ per parcel per month, boosted</t>
        </is>
      </c>
    </row>
    <row r="16">
      <c r="B16" s="1" t="inlineStr">
        <is>
          <t>AFTER</t>
        </is>
      </c>
      <c r="F16" s="2" t="inlineStr">
        <is>
          <t>parcels also cost an ad + rising WP now</t>
        </is>
      </c>
    </row>
    <row r="17">
      <c r="D17" s="4" t="inlineStr">
        <is>
          <t>per month</t>
        </is>
      </c>
      <c r="E17" s="4" t="inlineStr">
        <is>
          <t>boosted</t>
        </is>
      </c>
      <c r="F17" s="4" t="inlineStr">
        <is>
          <t>converted to $$</t>
        </is>
      </c>
      <c r="I17" s="4" t="inlineStr">
        <is>
          <t>my counts</t>
        </is>
      </c>
    </row>
    <row r="18">
      <c r="B18" s="6" t="inlineStr">
        <is>
          <t>rocky</t>
        </is>
      </c>
      <c r="C18" s="7" t="n">
        <v>0.6</v>
      </c>
      <c r="D18" s="8" t="n">
        <v>0.6</v>
      </c>
      <c r="E18" s="9">
        <f>D18*$L$6</f>
        <v/>
      </c>
      <c r="F18" s="10">
        <f>E18/$L$7</f>
        <v/>
      </c>
      <c r="G18" s="11" t="n"/>
      <c r="H18" s="11" t="n"/>
      <c r="I18" s="12" t="n">
        <v>4</v>
      </c>
    </row>
    <row r="19">
      <c r="B19" s="6" t="inlineStr">
        <is>
          <t>coal</t>
        </is>
      </c>
      <c r="C19" s="7" t="n">
        <v>0.25</v>
      </c>
      <c r="D19" s="8" t="n">
        <v>0.8</v>
      </c>
      <c r="E19" s="9">
        <f>D19*$L$6</f>
        <v/>
      </c>
      <c r="F19" s="10">
        <f>E19/$L$7</f>
        <v/>
      </c>
      <c r="G19" s="11" t="n"/>
      <c r="H19" s="11" t="n"/>
      <c r="I19" s="12" t="n">
        <v>4</v>
      </c>
    </row>
    <row r="20">
      <c r="B20" s="6" t="inlineStr">
        <is>
          <t>amethyst</t>
        </is>
      </c>
      <c r="C20" s="7" t="n">
        <v>0.1</v>
      </c>
      <c r="D20" s="8" t="n">
        <v>1.2</v>
      </c>
      <c r="E20" s="9">
        <f>D20*$L$6</f>
        <v/>
      </c>
      <c r="F20" s="10">
        <f>E20/$L$7</f>
        <v/>
      </c>
      <c r="G20" s="11" t="n"/>
      <c r="H20" s="11" t="n"/>
      <c r="I20" s="12" t="n">
        <v>0</v>
      </c>
    </row>
    <row r="21">
      <c r="B21" s="6" t="inlineStr">
        <is>
          <t>saphhire</t>
        </is>
      </c>
      <c r="C21" s="7" t="n">
        <v>0.04</v>
      </c>
      <c r="D21" s="8" t="n">
        <v>2</v>
      </c>
      <c r="E21" s="9">
        <f>D21*$L$6</f>
        <v/>
      </c>
      <c r="F21" s="10">
        <f>E21/$L$7</f>
        <v/>
      </c>
      <c r="G21" s="11" t="n"/>
      <c r="H21" s="11" t="n"/>
      <c r="I21" s="12" t="n">
        <v>1</v>
      </c>
    </row>
    <row r="22">
      <c r="B22" s="6" t="inlineStr">
        <is>
          <t>ruby</t>
        </is>
      </c>
      <c r="C22" s="7" t="n">
        <v>0.01</v>
      </c>
      <c r="D22" s="8" t="n">
        <v>6</v>
      </c>
      <c r="E22" s="9">
        <f>D22*$L$6</f>
        <v/>
      </c>
      <c r="F22" s="10">
        <f>E22/$L$7</f>
        <v/>
      </c>
      <c r="G22" s="11" t="n"/>
      <c r="H22" s="11" t="n"/>
      <c r="I22" s="12" t="n">
        <v>0</v>
      </c>
    </row>
    <row r="23">
      <c r="H23" s="15" t="inlineStr">
        <is>
          <t>monthly unboost</t>
        </is>
      </c>
      <c r="I23" s="16">
        <f>SUMPRODUCT(I18:I22,D18:D22)/$L$7</f>
        <v/>
      </c>
    </row>
    <row r="24">
      <c r="H24" s="15" t="inlineStr">
        <is>
          <t>monthly boosted</t>
        </is>
      </c>
      <c r="I24" s="16">
        <f>SUMPRODUCT(I18:I22,F18:F22)</f>
        <v/>
      </c>
    </row>
    <row r="26">
      <c r="E26" s="15" t="inlineStr">
        <is>
          <t>expected rent:</t>
        </is>
      </c>
      <c r="F26" s="17">
        <f>SUMPRODUCT(C18:C22,F18:F22)</f>
        <v/>
      </c>
      <c r="G26" s="18" t="inlineStr">
        <is>
          <t>$ per parcel per month, boosted</t>
        </is>
      </c>
    </row>
    <row r="29">
      <c r="B29" s="1" t="inlineStr">
        <is>
          <t>DIFFERENCE</t>
        </is>
      </c>
    </row>
    <row r="30">
      <c r="F30" s="4" t="inlineStr">
        <is>
          <t>before</t>
        </is>
      </c>
      <c r="H30" s="4" t="inlineStr">
        <is>
          <t>after</t>
        </is>
      </c>
      <c r="I30" s="4" t="inlineStr">
        <is>
          <t>after vs before</t>
        </is>
      </c>
    </row>
    <row r="31">
      <c r="B31" s="15" t="inlineStr">
        <is>
          <t>monthly unboost (my counts)</t>
        </is>
      </c>
      <c r="F31" s="16">
        <f>I10</f>
        <v/>
      </c>
      <c r="H31" s="16">
        <f>I23</f>
        <v/>
      </c>
      <c r="I31" s="19">
        <f>IF(F31=0,0,H31/F31-1)</f>
        <v/>
      </c>
    </row>
    <row r="32">
      <c r="B32" s="15" t="inlineStr">
        <is>
          <t>monthly boosted (my counts)</t>
        </is>
      </c>
      <c r="F32" s="16">
        <f>I11</f>
        <v/>
      </c>
      <c r="H32" s="16">
        <f>I24</f>
        <v/>
      </c>
      <c r="I32" s="19">
        <f>IF(F32=0,0,H32/F32-1)</f>
        <v/>
      </c>
    </row>
    <row r="33">
      <c r="B33" s="15" t="inlineStr">
        <is>
          <t>expected rent per parcel</t>
        </is>
      </c>
      <c r="F33" s="17">
        <f>F13</f>
        <v/>
      </c>
      <c r="H33" s="17">
        <f>F26</f>
        <v/>
      </c>
      <c r="I33" s="19">
        <f>IF(F33=0,0,H33/F33-1)</f>
        <v/>
      </c>
    </row>
    <row r="35">
      <c r="B35" s="3" t="inlineStr">
        <is>
          <t>Parcel price (WP)</t>
        </is>
      </c>
    </row>
    <row r="36">
      <c r="B36" t="inlineStr">
        <is>
          <t>base price</t>
        </is>
      </c>
      <c r="F36" s="5" t="n">
        <v>50</v>
      </c>
      <c r="H36" s="5" t="n">
        <v>50</v>
      </c>
    </row>
    <row r="37">
      <c r="B37" t="inlineStr">
        <is>
          <t>+1 WP per this many owned</t>
        </is>
      </c>
      <c r="F37" t="inlineStr">
        <is>
          <t>flat</t>
        </is>
      </c>
      <c r="H37" s="5" t="n">
        <v>10</v>
      </c>
    </row>
    <row r="38">
      <c r="B38" t="inlineStr">
        <is>
          <t>price with 9 owned (Zhev)</t>
        </is>
      </c>
      <c r="F38">
        <f>F36</f>
        <v/>
      </c>
      <c r="H38">
        <f>H36+INT(9/H37)</f>
        <v/>
      </c>
      <c r="I38" s="19">
        <f>H38/F38-1</f>
        <v/>
      </c>
    </row>
    <row r="39">
      <c r="B39" t="inlineStr">
        <is>
          <t>price with 400 owned</t>
        </is>
      </c>
      <c r="F39">
        <f>F36</f>
        <v/>
      </c>
      <c r="H39">
        <f>H36+INT(400/H37)</f>
        <v/>
      </c>
      <c r="I39" s="19">
        <f>H39/F39-1</f>
        <v/>
      </c>
    </row>
    <row r="40">
      <c r="B40" t="inlineStr">
        <is>
          <t>ad needed to claim</t>
        </is>
      </c>
      <c r="F40" t="inlineStr">
        <is>
          <t>no</t>
        </is>
      </c>
      <c r="H40" t="inlineStr">
        <is>
          <t>yes</t>
        </is>
      </c>
    </row>
    <row r="42">
      <c r="B42" s="3" t="inlineStr">
        <is>
          <t>Notes</t>
        </is>
      </c>
    </row>
    <row r="43">
      <c r="B43" s="20" t="inlineStr">
        <is>
          <t>Same layout and method as Zhev's sheet: boosted = per month x 10.5 (20x for half the day), $ = boosted / 1,000.</t>
        </is>
      </c>
    </row>
    <row r="44">
      <c r="B44" s="20" t="inlineStr">
        <is>
          <t>Odds use the game's real drop table (rocky 60%). Zhev's sheet had rocky at 65%, which adds up to 105%.</t>
        </is>
      </c>
    </row>
    <row r="45">
      <c r="B45" s="20" t="inlineStr">
        <is>
          <t>Blue cells are inputs: change the counts, rates or the share of day boosted and everything recalculates.</t>
        </is>
      </c>
    </row>
    <row r="46">
      <c r="B46" s="20" t="inlineStr">
        <is>
          <t>The boost can now cover the whole day (48 ads): set 'Share of day boosted' to 100% to see that case.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2026-09-27T10:42:08Z</dcterms:created>
  <dcterms:modified xsi:type="dcterms:W3CDTF">2026-09-27T10:42:08Z</dcterms:modified>
</cp:coreProperties>
</file>